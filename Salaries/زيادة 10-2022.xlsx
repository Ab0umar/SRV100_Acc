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7520" windowHeight="12600" activeTab="4"/>
  </bookViews>
  <sheets>
    <sheet name="زيادة 10-2022" sheetId="1" r:id="rId1"/>
    <sheet name="زيادة 1-2023" sheetId="2" r:id="rId2"/>
    <sheet name="زىادة 1-2024" sheetId="3" r:id="rId3"/>
    <sheet name="زيادة يناير 2025" sheetId="4" r:id="rId4"/>
    <sheet name="زيادة 1-2026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0" i="5" l="1"/>
  <c r="D21" i="5"/>
  <c r="D22" i="5"/>
  <c r="D23" i="5"/>
  <c r="E23" i="5" s="1"/>
  <c r="D24" i="5"/>
  <c r="E24" i="5" s="1"/>
  <c r="D19" i="5"/>
  <c r="D4" i="5"/>
  <c r="D5" i="5"/>
  <c r="E5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D13" i="5"/>
  <c r="E4" i="5"/>
  <c r="E12" i="5"/>
  <c r="D3" i="5"/>
  <c r="E3" i="5" s="1"/>
  <c r="C25" i="5"/>
  <c r="E22" i="5"/>
  <c r="E21" i="5"/>
  <c r="E20" i="5"/>
  <c r="E19" i="5"/>
  <c r="C14" i="5"/>
  <c r="E13" i="5"/>
  <c r="E14" i="5" l="1"/>
  <c r="E25" i="5"/>
  <c r="E15" i="4"/>
  <c r="C15" i="4"/>
  <c r="E27" i="4"/>
  <c r="C27" i="4"/>
  <c r="D24" i="4"/>
  <c r="E24" i="4" s="1"/>
  <c r="D25" i="4"/>
  <c r="E25" i="4" s="1"/>
  <c r="D8" i="4"/>
  <c r="E8" i="4" s="1"/>
  <c r="D4" i="4"/>
  <c r="E4" i="4" s="1"/>
  <c r="D5" i="4"/>
  <c r="E5" i="4" s="1"/>
  <c r="D6" i="4"/>
  <c r="E6" i="4" s="1"/>
  <c r="D7" i="4"/>
  <c r="E7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23" i="4"/>
  <c r="E23" i="4" s="1"/>
  <c r="D22" i="4"/>
  <c r="E22" i="4" s="1"/>
  <c r="D21" i="4"/>
  <c r="E21" i="4" s="1"/>
  <c r="D20" i="4"/>
  <c r="E20" i="4" s="1"/>
  <c r="D3" i="4"/>
  <c r="E3" i="4" s="1"/>
  <c r="D30" i="3" l="1"/>
  <c r="E30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D32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D16" i="3" l="1"/>
  <c r="E23" i="3"/>
  <c r="E32" i="3" s="1"/>
  <c r="E4" i="3"/>
  <c r="E16" i="3" s="1"/>
  <c r="C32" i="2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4" i="2"/>
  <c r="E4" i="2" s="1"/>
  <c r="C16" i="2"/>
  <c r="C16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4" i="1"/>
  <c r="D32" i="2" l="1"/>
  <c r="E23" i="2"/>
  <c r="E32" i="2" s="1"/>
  <c r="E16" i="1"/>
  <c r="D16" i="1"/>
  <c r="D16" i="2" l="1"/>
  <c r="E16" i="2"/>
</calcChain>
</file>

<file path=xl/sharedStrings.xml><?xml version="1.0" encoding="utf-8"?>
<sst xmlns="http://schemas.openxmlformats.org/spreadsheetml/2006/main" count="134" uniqueCount="38">
  <si>
    <t>المرتب</t>
  </si>
  <si>
    <t>الاسم</t>
  </si>
  <si>
    <t>اجمالي</t>
  </si>
  <si>
    <t>الاجمالي</t>
  </si>
  <si>
    <t>زيادة اكتوبر 2022</t>
  </si>
  <si>
    <t>محمود مرسال</t>
  </si>
  <si>
    <t>مصطفى الشناوي</t>
  </si>
  <si>
    <t>هدير سامي محمد</t>
  </si>
  <si>
    <t>ريهام محمود مصطفى</t>
  </si>
  <si>
    <t>سعاد السعدنى</t>
  </si>
  <si>
    <t>اميمة حجازى</t>
  </si>
  <si>
    <t>داليا حسين ابراهيم</t>
  </si>
  <si>
    <t>مروه المعداوي</t>
  </si>
  <si>
    <t xml:space="preserve">مصطفى طه </t>
  </si>
  <si>
    <t>مياده سامي</t>
  </si>
  <si>
    <t>مصطفى  السعدني</t>
  </si>
  <si>
    <t>ابراهيم عبدالقادر</t>
  </si>
  <si>
    <t>مجمد ابراهيم</t>
  </si>
  <si>
    <t>زيادة يناير 2023</t>
  </si>
  <si>
    <t>سافيناز صبري</t>
  </si>
  <si>
    <t xml:space="preserve">د/ سعيد مجدي </t>
  </si>
  <si>
    <t>د/شيماء عزام</t>
  </si>
  <si>
    <t>د/كريم عبدالرحيم</t>
  </si>
  <si>
    <t>د/ احمد عيسى</t>
  </si>
  <si>
    <t>د/محمد عبدالرحيم</t>
  </si>
  <si>
    <t>محمد ابراهيم</t>
  </si>
  <si>
    <t>د/ محمد مصطفى دياب</t>
  </si>
  <si>
    <t>الشيفت</t>
  </si>
  <si>
    <t>زيادة يناير 2024</t>
  </si>
  <si>
    <t>زيادة يناير 2025</t>
  </si>
  <si>
    <t>ايمان طاهر</t>
  </si>
  <si>
    <t>اسلام النجار</t>
  </si>
  <si>
    <t>د/ سما ابراهيم</t>
  </si>
  <si>
    <t>ايمان ياسر</t>
  </si>
  <si>
    <t>سارة سامي</t>
  </si>
  <si>
    <t>زيادة يناير 2026</t>
  </si>
  <si>
    <t>محمود غنيم</t>
  </si>
  <si>
    <t>رامز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</si>
</sst>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7" xfId="0" applyFont="1" applyBorder="1"/>
    <xf numFmtId="0" fontId="1" fillId="0" borderId="8" xfId="0" applyFont="1" applyBorder="1"/>
    <xf numFmtId="9" fontId="1" fillId="0" borderId="8" xfId="0" applyNumberFormat="1" applyFont="1" applyBorder="1"/>
    <xf numFmtId="0" fontId="1" fillId="0" borderId="9" xfId="0" applyFont="1" applyBorder="1"/>
    <xf numFmtId="0" fontId="1" fillId="0" borderId="4" xfId="0" applyFont="1" applyBorder="1"/>
    <xf numFmtId="0" fontId="1" fillId="0" borderId="5" xfId="0" applyFont="1" applyBorder="1"/>
    <xf numFmtId="1" fontId="1" fillId="0" borderId="6" xfId="0" applyNumberFormat="1" applyFont="1" applyBorder="1"/>
    <xf numFmtId="0" fontId="1" fillId="0" borderId="1" xfId="0" applyFont="1" applyBorder="1"/>
    <xf numFmtId="0" fontId="1" fillId="0" borderId="2" xfId="0" applyFont="1" applyBorder="1"/>
    <xf numFmtId="1" fontId="1" fillId="0" borderId="3" xfId="0" applyNumberFormat="1" applyFont="1" applyBorder="1"/>
    <xf numFmtId="0" fontId="1" fillId="0" borderId="10" xfId="0" applyFont="1" applyBorder="1"/>
    <xf numFmtId="0" fontId="1" fillId="0" borderId="11" xfId="0" applyFont="1" applyBorder="1"/>
    <xf numFmtId="1" fontId="1" fillId="0" borderId="12" xfId="0" applyNumberFormat="1" applyFont="1" applyBorder="1"/>
    <xf numFmtId="1" fontId="1" fillId="0" borderId="9" xfId="0" applyNumberFormat="1" applyFont="1" applyBorder="1"/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1" fillId="0" borderId="0" xfId="0" applyFont="1"/>
    <xf numFmtId="0" fontId="4" fillId="0" borderId="0" xfId="0" applyFont="1"/>
    <xf numFmtId="9" fontId="1" fillId="0" borderId="0" xfId="0" applyNumberFormat="1" applyFont="1"/>
    <xf numFmtId="1" fontId="1" fillId="0" borderId="2" xfId="0" applyNumberFormat="1" applyFont="1" applyBorder="1"/>
    <xf numFmtId="1" fontId="1" fillId="0" borderId="5" xfId="0" applyNumberFormat="1" applyFont="1" applyBorder="1"/>
    <xf numFmtId="2" fontId="1" fillId="0" borderId="2" xfId="0" applyNumberFormat="1" applyFont="1" applyBorder="1"/>
    <xf numFmtId="1" fontId="1" fillId="0" borderId="11" xfId="0" applyNumberFormat="1" applyFont="1" applyBorder="1"/>
    <xf numFmtId="0" fontId="3" fillId="0" borderId="2" xfId="0" applyFont="1" applyBorder="1"/>
    <xf numFmtId="1" fontId="1" fillId="0" borderId="0" xfId="0" applyNumberFormat="1" applyFont="1"/>
    <xf numFmtId="164" fontId="1" fillId="0" borderId="2" xfId="0" applyNumberFormat="1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11" xfId="0" applyNumberFormat="1" applyFont="1" applyBorder="1"/>
    <xf numFmtId="1" fontId="1" fillId="0" borderId="0" xfId="0" applyNumberFormat="1" applyFont="1" applyBorder="1"/>
    <xf numFmtId="164" fontId="1" fillId="0" borderId="9" xfId="0" applyNumberFormat="1" applyFont="1" applyBorder="1"/>
    <xf numFmtId="1" fontId="1" fillId="0" borderId="8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rightToLeft="1" topLeftCell="B8" workbookViewId="0">
      <selection activeCell="B13" sqref="B13"/>
    </sheetView>
  </sheetViews>
  <sheetFormatPr defaultRowHeight="14.4" x14ac:dyDescent="0.3"/>
  <cols>
    <col min="1" max="1" width="4.88671875" customWidth="1"/>
    <col min="2" max="2" width="23.33203125" customWidth="1"/>
    <col min="3" max="3" width="11.33203125" customWidth="1"/>
    <col min="4" max="4" width="11.44140625" customWidth="1"/>
    <col min="5" max="5" width="10.6640625" customWidth="1"/>
    <col min="8" max="8" width="15" customWidth="1"/>
  </cols>
  <sheetData>
    <row r="1" spans="1:5" ht="24" customHeight="1" x14ac:dyDescent="0.45">
      <c r="B1" s="33" t="s">
        <v>4</v>
      </c>
      <c r="C1" s="33"/>
      <c r="D1" s="33"/>
      <c r="E1" s="33"/>
    </row>
    <row r="2" spans="1:5" ht="15" thickBot="1" x14ac:dyDescent="0.35"/>
    <row r="3" spans="1:5" ht="28.5" customHeight="1" thickBot="1" x14ac:dyDescent="0.4">
      <c r="A3" s="1"/>
      <c r="B3" s="2" t="s">
        <v>1</v>
      </c>
      <c r="C3" s="2" t="s">
        <v>0</v>
      </c>
      <c r="D3" s="3">
        <v>0.15</v>
      </c>
      <c r="E3" s="4" t="s">
        <v>2</v>
      </c>
    </row>
    <row r="4" spans="1:5" ht="28.5" customHeight="1" x14ac:dyDescent="0.35">
      <c r="A4" s="5">
        <v>1</v>
      </c>
      <c r="B4" s="16" t="s">
        <v>15</v>
      </c>
      <c r="C4" s="6">
        <v>5214</v>
      </c>
      <c r="D4" s="6">
        <f>C4*0.15</f>
        <v>782.1</v>
      </c>
      <c r="E4" s="7">
        <v>5995</v>
      </c>
    </row>
    <row r="5" spans="1:5" ht="28.5" customHeight="1" x14ac:dyDescent="0.35">
      <c r="A5" s="8">
        <v>2</v>
      </c>
      <c r="B5" s="15" t="s">
        <v>6</v>
      </c>
      <c r="C5" s="9">
        <v>2227.4</v>
      </c>
      <c r="D5" s="9">
        <f t="shared" ref="D5:D15" si="0">C5*0.15</f>
        <v>334.11</v>
      </c>
      <c r="E5" s="10">
        <f t="shared" ref="E5:E15" si="1">C5+D5</f>
        <v>2561.5100000000002</v>
      </c>
    </row>
    <row r="6" spans="1:5" ht="28.5" customHeight="1" x14ac:dyDescent="0.35">
      <c r="A6" s="8">
        <v>3</v>
      </c>
      <c r="B6" s="15" t="s">
        <v>9</v>
      </c>
      <c r="C6" s="9">
        <v>2783</v>
      </c>
      <c r="D6" s="9">
        <f t="shared" si="0"/>
        <v>417.45</v>
      </c>
      <c r="E6" s="10">
        <f t="shared" si="1"/>
        <v>3200.45</v>
      </c>
    </row>
    <row r="7" spans="1:5" ht="28.5" customHeight="1" x14ac:dyDescent="0.35">
      <c r="A7" s="8">
        <v>4</v>
      </c>
      <c r="B7" s="15" t="s">
        <v>11</v>
      </c>
      <c r="C7" s="9">
        <v>1578.6</v>
      </c>
      <c r="D7" s="9">
        <f t="shared" si="0"/>
        <v>236.78999999999996</v>
      </c>
      <c r="E7" s="10">
        <f t="shared" si="1"/>
        <v>1815.3899999999999</v>
      </c>
    </row>
    <row r="8" spans="1:5" ht="28.5" customHeight="1" x14ac:dyDescent="0.35">
      <c r="A8" s="8">
        <v>5</v>
      </c>
      <c r="B8" s="15" t="s">
        <v>8</v>
      </c>
      <c r="C8" s="9">
        <v>1424.6</v>
      </c>
      <c r="D8" s="9">
        <f t="shared" si="0"/>
        <v>213.68999999999997</v>
      </c>
      <c r="E8" s="10">
        <f t="shared" si="1"/>
        <v>1638.29</v>
      </c>
    </row>
    <row r="9" spans="1:5" ht="28.5" customHeight="1" x14ac:dyDescent="0.35">
      <c r="A9" s="8">
        <v>6</v>
      </c>
      <c r="B9" s="15" t="s">
        <v>5</v>
      </c>
      <c r="C9" s="9">
        <v>1307.9000000000001</v>
      </c>
      <c r="D9" s="9">
        <f t="shared" si="0"/>
        <v>196.185</v>
      </c>
      <c r="E9" s="10">
        <f t="shared" si="1"/>
        <v>1504.085</v>
      </c>
    </row>
    <row r="10" spans="1:5" ht="28.5" customHeight="1" x14ac:dyDescent="0.35">
      <c r="A10" s="8">
        <v>7</v>
      </c>
      <c r="B10" s="16" t="s">
        <v>12</v>
      </c>
      <c r="C10" s="9">
        <v>1424.6</v>
      </c>
      <c r="D10" s="9">
        <f t="shared" si="0"/>
        <v>213.68999999999997</v>
      </c>
      <c r="E10" s="10">
        <f t="shared" si="1"/>
        <v>1638.29</v>
      </c>
    </row>
    <row r="11" spans="1:5" ht="28.5" customHeight="1" x14ac:dyDescent="0.35">
      <c r="A11" s="8">
        <v>8</v>
      </c>
      <c r="B11" s="15" t="s">
        <v>13</v>
      </c>
      <c r="C11" s="9">
        <v>1327.7</v>
      </c>
      <c r="D11" s="9">
        <f t="shared" si="0"/>
        <v>199.155</v>
      </c>
      <c r="E11" s="10">
        <f t="shared" si="1"/>
        <v>1526.855</v>
      </c>
    </row>
    <row r="12" spans="1:5" ht="28.5" customHeight="1" x14ac:dyDescent="0.35">
      <c r="A12" s="8">
        <v>9</v>
      </c>
      <c r="B12" s="15" t="s">
        <v>10</v>
      </c>
      <c r="C12" s="9">
        <v>1465.7</v>
      </c>
      <c r="D12" s="9">
        <f t="shared" si="0"/>
        <v>219.85499999999999</v>
      </c>
      <c r="E12" s="10">
        <f t="shared" si="1"/>
        <v>1685.5550000000001</v>
      </c>
    </row>
    <row r="13" spans="1:5" ht="28.5" customHeight="1" x14ac:dyDescent="0.35">
      <c r="A13" s="8">
        <v>10</v>
      </c>
      <c r="B13" s="16" t="s">
        <v>19</v>
      </c>
      <c r="C13" s="9">
        <v>875</v>
      </c>
      <c r="D13" s="9">
        <f t="shared" si="0"/>
        <v>131.25</v>
      </c>
      <c r="E13" s="10">
        <f t="shared" si="1"/>
        <v>1006.25</v>
      </c>
    </row>
    <row r="14" spans="1:5" ht="28.5" customHeight="1" x14ac:dyDescent="0.35">
      <c r="A14" s="8">
        <v>11</v>
      </c>
      <c r="B14" s="15" t="s">
        <v>14</v>
      </c>
      <c r="C14" s="9">
        <v>1182.5999999999999</v>
      </c>
      <c r="D14" s="9">
        <f t="shared" si="0"/>
        <v>177.39</v>
      </c>
      <c r="E14" s="10">
        <f t="shared" si="1"/>
        <v>1359.9899999999998</v>
      </c>
    </row>
    <row r="15" spans="1:5" ht="28.5" customHeight="1" thickBot="1" x14ac:dyDescent="0.4">
      <c r="A15" s="11">
        <v>12</v>
      </c>
      <c r="B15" s="16" t="s">
        <v>7</v>
      </c>
      <c r="C15" s="12">
        <v>1370.6</v>
      </c>
      <c r="D15" s="12">
        <f t="shared" si="0"/>
        <v>205.58999999999997</v>
      </c>
      <c r="E15" s="13">
        <f t="shared" si="1"/>
        <v>1576.1899999999998</v>
      </c>
    </row>
    <row r="16" spans="1:5" ht="27.75" customHeight="1" thickBot="1" x14ac:dyDescent="0.4">
      <c r="A16" s="1"/>
      <c r="B16" s="2" t="s">
        <v>3</v>
      </c>
      <c r="C16" s="2">
        <f>SUM(C4:C15)</f>
        <v>22181.699999999997</v>
      </c>
      <c r="D16" s="2">
        <f>SUM(D4:D15)</f>
        <v>3327.2550000000006</v>
      </c>
      <c r="E16" s="14">
        <f>SUM(E4:E15)</f>
        <v>25507.855</v>
      </c>
    </row>
    <row r="18" spans="2:5" ht="24.75" customHeight="1" x14ac:dyDescent="0.4">
      <c r="B18" s="18" t="s">
        <v>16</v>
      </c>
      <c r="C18" s="17">
        <v>107.6</v>
      </c>
      <c r="D18" s="19">
        <v>0.09</v>
      </c>
      <c r="E18" s="17">
        <v>117.25</v>
      </c>
    </row>
    <row r="19" spans="2:5" ht="24.75" customHeight="1" x14ac:dyDescent="0.4">
      <c r="B19" s="18" t="s">
        <v>17</v>
      </c>
      <c r="C19" s="17">
        <v>107.6</v>
      </c>
      <c r="D19" s="19">
        <v>0.09</v>
      </c>
      <c r="E19" s="17">
        <v>117.25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rightToLeft="1" workbookViewId="0">
      <selection sqref="A1:XFD1048576"/>
    </sheetView>
  </sheetViews>
  <sheetFormatPr defaultRowHeight="14.4" x14ac:dyDescent="0.3"/>
  <cols>
    <col min="1" max="1" width="4.6640625" customWidth="1"/>
    <col min="2" max="2" width="21.5546875" customWidth="1"/>
    <col min="3" max="3" width="12.44140625" customWidth="1"/>
    <col min="4" max="4" width="11.33203125" customWidth="1"/>
    <col min="5" max="5" width="12.88671875" customWidth="1"/>
  </cols>
  <sheetData>
    <row r="1" spans="1:5" ht="24" customHeight="1" x14ac:dyDescent="0.45">
      <c r="B1" s="33" t="s">
        <v>18</v>
      </c>
      <c r="C1" s="33"/>
      <c r="D1" s="33"/>
      <c r="E1" s="33"/>
    </row>
    <row r="2" spans="1:5" ht="15" thickBot="1" x14ac:dyDescent="0.35"/>
    <row r="3" spans="1:5" ht="28.5" customHeight="1" thickBot="1" x14ac:dyDescent="0.4">
      <c r="A3" s="1"/>
      <c r="B3" s="2" t="s">
        <v>1</v>
      </c>
      <c r="C3" s="2" t="s">
        <v>0</v>
      </c>
      <c r="D3" s="3">
        <v>0.1</v>
      </c>
      <c r="E3" s="4" t="s">
        <v>2</v>
      </c>
    </row>
    <row r="4" spans="1:5" ht="28.5" customHeight="1" x14ac:dyDescent="0.35">
      <c r="A4" s="5">
        <v>1</v>
      </c>
      <c r="B4" s="16" t="s">
        <v>15</v>
      </c>
      <c r="C4" s="6">
        <v>5995</v>
      </c>
      <c r="D4" s="21">
        <f>C4*0.1</f>
        <v>599.5</v>
      </c>
      <c r="E4" s="7">
        <f>C4+D4</f>
        <v>6594.5</v>
      </c>
    </row>
    <row r="5" spans="1:5" ht="28.5" customHeight="1" x14ac:dyDescent="0.35">
      <c r="A5" s="8">
        <v>2</v>
      </c>
      <c r="B5" s="15" t="s">
        <v>6</v>
      </c>
      <c r="C5" s="9">
        <v>2562</v>
      </c>
      <c r="D5" s="21">
        <f t="shared" ref="D5:D15" si="0">C5*0.1</f>
        <v>256.2</v>
      </c>
      <c r="E5" s="7">
        <f t="shared" ref="E5:E15" si="1">C5+D5</f>
        <v>2818.2</v>
      </c>
    </row>
    <row r="6" spans="1:5" ht="28.5" customHeight="1" x14ac:dyDescent="0.35">
      <c r="A6" s="8">
        <v>3</v>
      </c>
      <c r="B6" s="15" t="s">
        <v>9</v>
      </c>
      <c r="C6" s="20">
        <v>3200.45</v>
      </c>
      <c r="D6" s="21">
        <f t="shared" si="0"/>
        <v>320.04500000000002</v>
      </c>
      <c r="E6" s="7">
        <f t="shared" si="1"/>
        <v>3520.4949999999999</v>
      </c>
    </row>
    <row r="7" spans="1:5" ht="28.5" customHeight="1" x14ac:dyDescent="0.35">
      <c r="A7" s="8">
        <v>4</v>
      </c>
      <c r="B7" s="15" t="s">
        <v>11</v>
      </c>
      <c r="C7" s="9">
        <v>1815</v>
      </c>
      <c r="D7" s="21">
        <f t="shared" si="0"/>
        <v>181.5</v>
      </c>
      <c r="E7" s="7">
        <f t="shared" si="1"/>
        <v>1996.5</v>
      </c>
    </row>
    <row r="8" spans="1:5" ht="28.5" customHeight="1" x14ac:dyDescent="0.35">
      <c r="A8" s="8">
        <v>5</v>
      </c>
      <c r="B8" s="15" t="s">
        <v>8</v>
      </c>
      <c r="C8" s="20">
        <v>1638.29</v>
      </c>
      <c r="D8" s="21">
        <f t="shared" si="0"/>
        <v>163.82900000000001</v>
      </c>
      <c r="E8" s="7">
        <f t="shared" si="1"/>
        <v>1802.1189999999999</v>
      </c>
    </row>
    <row r="9" spans="1:5" ht="28.5" customHeight="1" x14ac:dyDescent="0.35">
      <c r="A9" s="8">
        <v>6</v>
      </c>
      <c r="B9" s="15" t="s">
        <v>5</v>
      </c>
      <c r="C9" s="20">
        <v>1505</v>
      </c>
      <c r="D9" s="21">
        <f t="shared" si="0"/>
        <v>150.5</v>
      </c>
      <c r="E9" s="7">
        <f t="shared" si="1"/>
        <v>1655.5</v>
      </c>
    </row>
    <row r="10" spans="1:5" ht="28.5" customHeight="1" x14ac:dyDescent="0.35">
      <c r="A10" s="8">
        <v>7</v>
      </c>
      <c r="B10" s="16" t="s">
        <v>12</v>
      </c>
      <c r="C10" s="20">
        <v>1638.29</v>
      </c>
      <c r="D10" s="21">
        <f t="shared" si="0"/>
        <v>163.82900000000001</v>
      </c>
      <c r="E10" s="7">
        <f t="shared" si="1"/>
        <v>1802.1189999999999</v>
      </c>
    </row>
    <row r="11" spans="1:5" ht="28.5" customHeight="1" x14ac:dyDescent="0.35">
      <c r="A11" s="8">
        <v>8</v>
      </c>
      <c r="B11" s="15" t="s">
        <v>13</v>
      </c>
      <c r="C11" s="20">
        <v>1526.855</v>
      </c>
      <c r="D11" s="21">
        <f t="shared" si="0"/>
        <v>152.68550000000002</v>
      </c>
      <c r="E11" s="7">
        <f t="shared" si="1"/>
        <v>1679.5405000000001</v>
      </c>
    </row>
    <row r="12" spans="1:5" ht="28.5" customHeight="1" x14ac:dyDescent="0.35">
      <c r="A12" s="8">
        <v>9</v>
      </c>
      <c r="B12" s="15" t="s">
        <v>10</v>
      </c>
      <c r="C12" s="20">
        <v>1685.5550000000001</v>
      </c>
      <c r="D12" s="21">
        <f t="shared" si="0"/>
        <v>168.55550000000002</v>
      </c>
      <c r="E12" s="7">
        <f t="shared" si="1"/>
        <v>1854.1105</v>
      </c>
    </row>
    <row r="13" spans="1:5" ht="28.5" customHeight="1" x14ac:dyDescent="0.35">
      <c r="A13" s="8">
        <v>10</v>
      </c>
      <c r="B13" s="16" t="s">
        <v>19</v>
      </c>
      <c r="C13" s="20">
        <v>1006.25</v>
      </c>
      <c r="D13" s="21">
        <f t="shared" si="0"/>
        <v>100.625</v>
      </c>
      <c r="E13" s="7">
        <f t="shared" si="1"/>
        <v>1106.875</v>
      </c>
    </row>
    <row r="14" spans="1:5" ht="28.5" customHeight="1" x14ac:dyDescent="0.35">
      <c r="A14" s="8">
        <v>11</v>
      </c>
      <c r="B14" s="15" t="s">
        <v>14</v>
      </c>
      <c r="C14" s="20">
        <v>1359.9899999999998</v>
      </c>
      <c r="D14" s="21">
        <f t="shared" si="0"/>
        <v>135.999</v>
      </c>
      <c r="E14" s="7">
        <f t="shared" si="1"/>
        <v>1495.9889999999998</v>
      </c>
    </row>
    <row r="15" spans="1:5" ht="28.5" customHeight="1" thickBot="1" x14ac:dyDescent="0.4">
      <c r="A15" s="11">
        <v>12</v>
      </c>
      <c r="B15" s="16" t="s">
        <v>7</v>
      </c>
      <c r="C15" s="23">
        <v>1576.1899999999998</v>
      </c>
      <c r="D15" s="21">
        <f t="shared" si="0"/>
        <v>157.619</v>
      </c>
      <c r="E15" s="7">
        <f t="shared" si="1"/>
        <v>1733.8089999999997</v>
      </c>
    </row>
    <row r="16" spans="1:5" ht="27.75" customHeight="1" thickBot="1" x14ac:dyDescent="0.4">
      <c r="A16" s="1"/>
      <c r="B16" s="2" t="s">
        <v>3</v>
      </c>
      <c r="C16" s="2">
        <f>SUM(C4:C15)</f>
        <v>25508.87</v>
      </c>
      <c r="D16" s="2">
        <f>SUM(D4:D15)</f>
        <v>2550.8870000000002</v>
      </c>
      <c r="E16" s="14">
        <f>SUM(E4:E15)</f>
        <v>28059.756999999998</v>
      </c>
    </row>
    <row r="20" spans="1:5" ht="24" customHeight="1" x14ac:dyDescent="0.45">
      <c r="B20" s="33" t="s">
        <v>18</v>
      </c>
      <c r="C20" s="33"/>
      <c r="D20" s="33"/>
      <c r="E20" s="33"/>
    </row>
    <row r="21" spans="1:5" ht="15" thickBot="1" x14ac:dyDescent="0.35"/>
    <row r="22" spans="1:5" ht="28.5" customHeight="1" thickBot="1" x14ac:dyDescent="0.4">
      <c r="A22" s="1"/>
      <c r="B22" s="2" t="s">
        <v>1</v>
      </c>
      <c r="C22" s="2" t="s">
        <v>27</v>
      </c>
      <c r="D22" s="3">
        <v>0.1</v>
      </c>
      <c r="E22" s="4" t="s">
        <v>2</v>
      </c>
    </row>
    <row r="23" spans="1:5" ht="28.5" customHeight="1" x14ac:dyDescent="0.35">
      <c r="A23" s="5">
        <v>1</v>
      </c>
      <c r="B23" s="15" t="s">
        <v>16</v>
      </c>
      <c r="C23" s="17">
        <v>117.25</v>
      </c>
      <c r="D23" s="21">
        <f>C23*0.1</f>
        <v>11.725000000000001</v>
      </c>
      <c r="E23" s="7">
        <f>C23+D23</f>
        <v>128.97499999999999</v>
      </c>
    </row>
    <row r="24" spans="1:5" ht="28.5" customHeight="1" x14ac:dyDescent="0.35">
      <c r="A24" s="8">
        <v>2</v>
      </c>
      <c r="B24" s="24" t="s">
        <v>20</v>
      </c>
      <c r="C24" s="22">
        <v>212.6</v>
      </c>
      <c r="D24" s="21">
        <f t="shared" ref="D24:D30" si="2">C24*0.1</f>
        <v>21.26</v>
      </c>
      <c r="E24" s="7">
        <f t="shared" ref="E24:E30" si="3">C24+D24</f>
        <v>233.85999999999999</v>
      </c>
    </row>
    <row r="25" spans="1:5" ht="28.5" customHeight="1" x14ac:dyDescent="0.35">
      <c r="A25" s="8">
        <v>3</v>
      </c>
      <c r="B25" s="16" t="s">
        <v>21</v>
      </c>
      <c r="C25" s="22">
        <v>322.89999999999998</v>
      </c>
      <c r="D25" s="21">
        <f t="shared" si="2"/>
        <v>32.29</v>
      </c>
      <c r="E25" s="7">
        <f t="shared" si="3"/>
        <v>355.19</v>
      </c>
    </row>
    <row r="26" spans="1:5" ht="28.5" customHeight="1" x14ac:dyDescent="0.35">
      <c r="A26" s="8">
        <v>4</v>
      </c>
      <c r="B26" s="16" t="s">
        <v>22</v>
      </c>
      <c r="C26" s="22">
        <v>322.89999999999998</v>
      </c>
      <c r="D26" s="21">
        <f t="shared" si="2"/>
        <v>32.29</v>
      </c>
      <c r="E26" s="7">
        <f t="shared" si="3"/>
        <v>355.19</v>
      </c>
    </row>
    <row r="27" spans="1:5" ht="28.5" customHeight="1" x14ac:dyDescent="0.35">
      <c r="A27" s="8">
        <v>5</v>
      </c>
      <c r="B27" s="16" t="s">
        <v>26</v>
      </c>
      <c r="C27" s="20">
        <v>252</v>
      </c>
      <c r="D27" s="21">
        <f t="shared" si="2"/>
        <v>25.200000000000003</v>
      </c>
      <c r="E27" s="7">
        <f t="shared" si="3"/>
        <v>277.2</v>
      </c>
    </row>
    <row r="28" spans="1:5" ht="28.5" customHeight="1" x14ac:dyDescent="0.35">
      <c r="A28" s="8">
        <v>6</v>
      </c>
      <c r="B28" s="16" t="s">
        <v>23</v>
      </c>
      <c r="C28" s="20">
        <v>307</v>
      </c>
      <c r="D28" s="21">
        <f t="shared" si="2"/>
        <v>30.700000000000003</v>
      </c>
      <c r="E28" s="7">
        <f t="shared" si="3"/>
        <v>337.7</v>
      </c>
    </row>
    <row r="29" spans="1:5" ht="28.5" customHeight="1" x14ac:dyDescent="0.35">
      <c r="A29" s="8">
        <v>7</v>
      </c>
      <c r="B29" s="15" t="s">
        <v>24</v>
      </c>
      <c r="C29" s="22">
        <v>322.89999999999998</v>
      </c>
      <c r="D29" s="21">
        <f t="shared" si="2"/>
        <v>32.29</v>
      </c>
      <c r="E29" s="7">
        <f t="shared" si="3"/>
        <v>355.19</v>
      </c>
    </row>
    <row r="30" spans="1:5" ht="28.5" customHeight="1" x14ac:dyDescent="0.35">
      <c r="A30" s="8">
        <v>8</v>
      </c>
      <c r="B30" s="16" t="s">
        <v>25</v>
      </c>
      <c r="C30" s="17">
        <v>117.25</v>
      </c>
      <c r="D30" s="21">
        <f t="shared" si="2"/>
        <v>11.725000000000001</v>
      </c>
      <c r="E30" s="7">
        <f t="shared" si="3"/>
        <v>128.97499999999999</v>
      </c>
    </row>
    <row r="31" spans="1:5" ht="28.5" customHeight="1" thickBot="1" x14ac:dyDescent="0.4">
      <c r="A31" s="11"/>
      <c r="B31" s="16"/>
      <c r="C31" s="23"/>
      <c r="D31" s="21"/>
      <c r="E31" s="7"/>
    </row>
    <row r="32" spans="1:5" ht="27.75" customHeight="1" thickBot="1" x14ac:dyDescent="0.4">
      <c r="A32" s="1"/>
      <c r="B32" s="2" t="s">
        <v>3</v>
      </c>
      <c r="C32" s="2">
        <f>SUM(C23:C31)</f>
        <v>1974.8000000000002</v>
      </c>
      <c r="D32" s="2">
        <f>SUM(D23:D31)</f>
        <v>197.48</v>
      </c>
      <c r="E32" s="14">
        <f>SUM(E23:E31)</f>
        <v>2172.2800000000002</v>
      </c>
    </row>
  </sheetData>
  <mergeCells count="2">
    <mergeCell ref="B1:E1"/>
    <mergeCell ref="B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rightToLeft="1" workbookViewId="0">
      <selection activeCell="B10" sqref="B10"/>
    </sheetView>
  </sheetViews>
  <sheetFormatPr defaultRowHeight="14.4" x14ac:dyDescent="0.3"/>
  <cols>
    <col min="1" max="1" width="4.6640625" customWidth="1"/>
    <col min="2" max="2" width="21.5546875" customWidth="1"/>
    <col min="3" max="3" width="12.44140625" customWidth="1"/>
    <col min="4" max="4" width="11.33203125" customWidth="1"/>
    <col min="5" max="5" width="12.88671875" customWidth="1"/>
  </cols>
  <sheetData>
    <row r="1" spans="1:5" ht="24" customHeight="1" x14ac:dyDescent="0.45">
      <c r="B1" s="33" t="s">
        <v>28</v>
      </c>
      <c r="C1" s="33"/>
      <c r="D1" s="33"/>
      <c r="E1" s="33"/>
    </row>
    <row r="2" spans="1:5" ht="15" thickBot="1" x14ac:dyDescent="0.35"/>
    <row r="3" spans="1:5" ht="28.5" customHeight="1" thickBot="1" x14ac:dyDescent="0.4">
      <c r="A3" s="1"/>
      <c r="B3" s="2" t="s">
        <v>1</v>
      </c>
      <c r="C3" s="2" t="s">
        <v>0</v>
      </c>
      <c r="D3" s="3">
        <v>0.1</v>
      </c>
      <c r="E3" s="4" t="s">
        <v>2</v>
      </c>
    </row>
    <row r="4" spans="1:5" ht="28.5" customHeight="1" x14ac:dyDescent="0.35">
      <c r="A4" s="5">
        <v>1</v>
      </c>
      <c r="B4" s="16" t="s">
        <v>15</v>
      </c>
      <c r="C4" s="21">
        <v>6594.5</v>
      </c>
      <c r="D4" s="21">
        <f>C4*0.1</f>
        <v>659.45</v>
      </c>
      <c r="E4" s="7">
        <f>C4+D4</f>
        <v>7253.95</v>
      </c>
    </row>
    <row r="5" spans="1:5" ht="28.5" customHeight="1" x14ac:dyDescent="0.35">
      <c r="A5" s="8">
        <v>2</v>
      </c>
      <c r="B5" s="15" t="s">
        <v>6</v>
      </c>
      <c r="C5" s="20">
        <v>2818.2</v>
      </c>
      <c r="D5" s="21">
        <f t="shared" ref="D5:D15" si="0">C5*0.1</f>
        <v>281.82</v>
      </c>
      <c r="E5" s="7">
        <f t="shared" ref="E5:E15" si="1">C5+D5</f>
        <v>3100.02</v>
      </c>
    </row>
    <row r="6" spans="1:5" ht="28.5" customHeight="1" x14ac:dyDescent="0.35">
      <c r="A6" s="8">
        <v>3</v>
      </c>
      <c r="B6" s="15" t="s">
        <v>9</v>
      </c>
      <c r="C6" s="20">
        <v>3520.4949999999999</v>
      </c>
      <c r="D6" s="21">
        <f t="shared" si="0"/>
        <v>352.04950000000002</v>
      </c>
      <c r="E6" s="7">
        <f t="shared" si="1"/>
        <v>3872.5445</v>
      </c>
    </row>
    <row r="7" spans="1:5" ht="28.5" customHeight="1" x14ac:dyDescent="0.35">
      <c r="A7" s="8">
        <v>4</v>
      </c>
      <c r="B7" s="15" t="s">
        <v>11</v>
      </c>
      <c r="C7" s="20">
        <v>1996.5</v>
      </c>
      <c r="D7" s="21">
        <f t="shared" si="0"/>
        <v>199.65</v>
      </c>
      <c r="E7" s="7">
        <f t="shared" si="1"/>
        <v>2196.15</v>
      </c>
    </row>
    <row r="8" spans="1:5" ht="28.5" customHeight="1" x14ac:dyDescent="0.35">
      <c r="A8" s="8">
        <v>5</v>
      </c>
      <c r="B8" s="15" t="s">
        <v>8</v>
      </c>
      <c r="C8" s="20">
        <v>1802.1189999999999</v>
      </c>
      <c r="D8" s="21">
        <f t="shared" si="0"/>
        <v>180.21190000000001</v>
      </c>
      <c r="E8" s="7">
        <f t="shared" si="1"/>
        <v>1982.3308999999999</v>
      </c>
    </row>
    <row r="9" spans="1:5" ht="28.5" customHeight="1" x14ac:dyDescent="0.35">
      <c r="A9" s="8">
        <v>6</v>
      </c>
      <c r="B9" s="15" t="s">
        <v>5</v>
      </c>
      <c r="C9" s="20">
        <v>1655.5</v>
      </c>
      <c r="D9" s="21">
        <f t="shared" si="0"/>
        <v>165.55</v>
      </c>
      <c r="E9" s="7">
        <f t="shared" si="1"/>
        <v>1821.05</v>
      </c>
    </row>
    <row r="10" spans="1:5" ht="28.5" customHeight="1" x14ac:dyDescent="0.35">
      <c r="A10" s="8">
        <v>7</v>
      </c>
      <c r="B10" s="16" t="s">
        <v>12</v>
      </c>
      <c r="C10" s="20">
        <v>1802.1189999999999</v>
      </c>
      <c r="D10" s="21">
        <f t="shared" si="0"/>
        <v>180.21190000000001</v>
      </c>
      <c r="E10" s="7">
        <f t="shared" si="1"/>
        <v>1982.3308999999999</v>
      </c>
    </row>
    <row r="11" spans="1:5" ht="28.5" customHeight="1" x14ac:dyDescent="0.35">
      <c r="A11" s="8">
        <v>8</v>
      </c>
      <c r="B11" s="15" t="s">
        <v>13</v>
      </c>
      <c r="C11" s="20">
        <v>1679.5405000000001</v>
      </c>
      <c r="D11" s="21">
        <f t="shared" si="0"/>
        <v>167.95405000000002</v>
      </c>
      <c r="E11" s="7">
        <f t="shared" si="1"/>
        <v>1847.4945500000001</v>
      </c>
    </row>
    <row r="12" spans="1:5" ht="28.5" customHeight="1" x14ac:dyDescent="0.35">
      <c r="A12" s="8">
        <v>9</v>
      </c>
      <c r="B12" s="15" t="s">
        <v>10</v>
      </c>
      <c r="C12" s="20">
        <v>1854.1105</v>
      </c>
      <c r="D12" s="21">
        <f t="shared" si="0"/>
        <v>185.41105000000002</v>
      </c>
      <c r="E12" s="7">
        <f t="shared" si="1"/>
        <v>2039.5215499999999</v>
      </c>
    </row>
    <row r="13" spans="1:5" ht="28.5" customHeight="1" x14ac:dyDescent="0.35">
      <c r="A13" s="8">
        <v>10</v>
      </c>
      <c r="B13" s="16" t="s">
        <v>19</v>
      </c>
      <c r="C13" s="20">
        <v>1106.875</v>
      </c>
      <c r="D13" s="21">
        <f t="shared" si="0"/>
        <v>110.6875</v>
      </c>
      <c r="E13" s="7">
        <f t="shared" si="1"/>
        <v>1217.5625</v>
      </c>
    </row>
    <row r="14" spans="1:5" ht="28.5" customHeight="1" x14ac:dyDescent="0.35">
      <c r="A14" s="8">
        <v>11</v>
      </c>
      <c r="B14" s="15" t="s">
        <v>14</v>
      </c>
      <c r="C14" s="20">
        <v>1495.9889999999998</v>
      </c>
      <c r="D14" s="21">
        <f t="shared" si="0"/>
        <v>149.59889999999999</v>
      </c>
      <c r="E14" s="7">
        <f t="shared" si="1"/>
        <v>1645.5878999999998</v>
      </c>
    </row>
    <row r="15" spans="1:5" ht="28.5" customHeight="1" thickBot="1" x14ac:dyDescent="0.4">
      <c r="A15" s="11">
        <v>12</v>
      </c>
      <c r="B15" s="16" t="s">
        <v>7</v>
      </c>
      <c r="C15" s="23">
        <v>1733.8089999999997</v>
      </c>
      <c r="D15" s="21">
        <f t="shared" si="0"/>
        <v>173.3809</v>
      </c>
      <c r="E15" s="7">
        <f t="shared" si="1"/>
        <v>1907.1898999999999</v>
      </c>
    </row>
    <row r="16" spans="1:5" ht="27.75" customHeight="1" thickBot="1" x14ac:dyDescent="0.4">
      <c r="A16" s="1"/>
      <c r="B16" s="2" t="s">
        <v>3</v>
      </c>
      <c r="C16" s="2">
        <v>28059.756999999998</v>
      </c>
      <c r="D16" s="2">
        <f>SUM(D4:D15)</f>
        <v>2805.9757000000004</v>
      </c>
      <c r="E16" s="14">
        <f>SUM(E4:E15)</f>
        <v>30865.7327</v>
      </c>
    </row>
    <row r="20" spans="1:5" ht="24" customHeight="1" x14ac:dyDescent="0.45">
      <c r="B20" s="33" t="s">
        <v>28</v>
      </c>
      <c r="C20" s="33"/>
      <c r="D20" s="33"/>
      <c r="E20" s="33"/>
    </row>
    <row r="21" spans="1:5" ht="15" thickBot="1" x14ac:dyDescent="0.35"/>
    <row r="22" spans="1:5" ht="28.5" customHeight="1" thickBot="1" x14ac:dyDescent="0.4">
      <c r="A22" s="1"/>
      <c r="B22" s="2" t="s">
        <v>1</v>
      </c>
      <c r="C22" s="2" t="s">
        <v>27</v>
      </c>
      <c r="D22" s="3">
        <v>0.1</v>
      </c>
      <c r="E22" s="4" t="s">
        <v>2</v>
      </c>
    </row>
    <row r="23" spans="1:5" ht="28.5" customHeight="1" x14ac:dyDescent="0.35">
      <c r="A23" s="5">
        <v>1</v>
      </c>
      <c r="B23" s="15" t="s">
        <v>16</v>
      </c>
      <c r="C23" s="25">
        <v>128.97499999999999</v>
      </c>
      <c r="D23" s="21">
        <f>C23*0.1</f>
        <v>12.897500000000001</v>
      </c>
      <c r="E23" s="7">
        <f>C23+D23</f>
        <v>141.8725</v>
      </c>
    </row>
    <row r="24" spans="1:5" ht="28.5" customHeight="1" x14ac:dyDescent="0.35">
      <c r="A24" s="8">
        <v>2</v>
      </c>
      <c r="B24" s="24" t="s">
        <v>20</v>
      </c>
      <c r="C24" s="20">
        <v>233.85999999999999</v>
      </c>
      <c r="D24" s="21">
        <f t="shared" ref="D24:D30" si="2">C24*0.1</f>
        <v>23.385999999999999</v>
      </c>
      <c r="E24" s="7">
        <f t="shared" ref="E24:E30" si="3">C24+D24</f>
        <v>257.24599999999998</v>
      </c>
    </row>
    <row r="25" spans="1:5" ht="28.5" customHeight="1" x14ac:dyDescent="0.35">
      <c r="A25" s="8">
        <v>3</v>
      </c>
      <c r="B25" s="16" t="s">
        <v>21</v>
      </c>
      <c r="C25" s="20">
        <v>355.19</v>
      </c>
      <c r="D25" s="21">
        <f t="shared" si="2"/>
        <v>35.518999999999998</v>
      </c>
      <c r="E25" s="7">
        <f t="shared" si="3"/>
        <v>390.709</v>
      </c>
    </row>
    <row r="26" spans="1:5" ht="28.5" customHeight="1" x14ac:dyDescent="0.35">
      <c r="A26" s="8">
        <v>4</v>
      </c>
      <c r="B26" s="16" t="s">
        <v>22</v>
      </c>
      <c r="C26" s="20">
        <v>355.19</v>
      </c>
      <c r="D26" s="21">
        <f t="shared" si="2"/>
        <v>35.518999999999998</v>
      </c>
      <c r="E26" s="7">
        <f t="shared" si="3"/>
        <v>390.709</v>
      </c>
    </row>
    <row r="27" spans="1:5" ht="28.5" customHeight="1" x14ac:dyDescent="0.35">
      <c r="A27" s="8">
        <v>5</v>
      </c>
      <c r="B27" s="16" t="s">
        <v>26</v>
      </c>
      <c r="C27" s="20">
        <v>277.2</v>
      </c>
      <c r="D27" s="21">
        <f t="shared" si="2"/>
        <v>27.72</v>
      </c>
      <c r="E27" s="7">
        <f t="shared" si="3"/>
        <v>304.91999999999996</v>
      </c>
    </row>
    <row r="28" spans="1:5" ht="28.5" customHeight="1" x14ac:dyDescent="0.35">
      <c r="A28" s="8">
        <v>6</v>
      </c>
      <c r="B28" s="16" t="s">
        <v>23</v>
      </c>
      <c r="C28" s="20">
        <v>337.7</v>
      </c>
      <c r="D28" s="21">
        <f t="shared" si="2"/>
        <v>33.770000000000003</v>
      </c>
      <c r="E28" s="7">
        <f t="shared" si="3"/>
        <v>371.46999999999997</v>
      </c>
    </row>
    <row r="29" spans="1:5" ht="28.5" customHeight="1" x14ac:dyDescent="0.35">
      <c r="A29" s="8">
        <v>7</v>
      </c>
      <c r="B29" s="15" t="s">
        <v>24</v>
      </c>
      <c r="C29" s="20">
        <v>355.19</v>
      </c>
      <c r="D29" s="21">
        <f t="shared" si="2"/>
        <v>35.518999999999998</v>
      </c>
      <c r="E29" s="7">
        <f t="shared" si="3"/>
        <v>390.709</v>
      </c>
    </row>
    <row r="30" spans="1:5" ht="28.5" customHeight="1" x14ac:dyDescent="0.35">
      <c r="A30" s="8">
        <v>8</v>
      </c>
      <c r="B30" s="16" t="s">
        <v>25</v>
      </c>
      <c r="C30" s="25">
        <v>128.97499999999999</v>
      </c>
      <c r="D30" s="21">
        <f t="shared" si="2"/>
        <v>12.897500000000001</v>
      </c>
      <c r="E30" s="7">
        <f t="shared" si="3"/>
        <v>141.8725</v>
      </c>
    </row>
    <row r="31" spans="1:5" ht="28.5" customHeight="1" thickBot="1" x14ac:dyDescent="0.4">
      <c r="A31" s="11"/>
      <c r="B31" s="16"/>
      <c r="C31" s="23"/>
      <c r="D31" s="21"/>
      <c r="E31" s="7"/>
    </row>
    <row r="32" spans="1:5" ht="27.75" customHeight="1" thickBot="1" x14ac:dyDescent="0.4">
      <c r="A32" s="1"/>
      <c r="B32" s="2" t="s">
        <v>3</v>
      </c>
      <c r="C32" s="2">
        <v>2172.2800000000002</v>
      </c>
      <c r="D32" s="2">
        <f>SUM(D23:D31)</f>
        <v>217.22800000000004</v>
      </c>
      <c r="E32" s="14">
        <f>SUM(E23:E31)</f>
        <v>2389.5079999999998</v>
      </c>
    </row>
  </sheetData>
  <mergeCells count="2">
    <mergeCell ref="B1:E1"/>
    <mergeCell ref="B20:E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rightToLeft="1" workbookViewId="0">
      <selection sqref="A1:XFD1048576"/>
    </sheetView>
  </sheetViews>
  <sheetFormatPr defaultRowHeight="14.4" x14ac:dyDescent="0.3"/>
  <cols>
    <col min="1" max="1" width="4.6640625" customWidth="1"/>
    <col min="2" max="2" width="21.5546875" customWidth="1"/>
    <col min="3" max="3" width="12.44140625" customWidth="1"/>
    <col min="4" max="4" width="11.33203125" customWidth="1"/>
    <col min="5" max="5" width="12.88671875" customWidth="1"/>
  </cols>
  <sheetData>
    <row r="1" spans="1:5" ht="24" customHeight="1" thickBot="1" x14ac:dyDescent="0.5">
      <c r="B1" s="33" t="s">
        <v>29</v>
      </c>
      <c r="C1" s="33"/>
      <c r="D1" s="33"/>
      <c r="E1" s="33"/>
    </row>
    <row r="2" spans="1:5" ht="27.75" customHeight="1" thickBot="1" x14ac:dyDescent="0.4">
      <c r="A2" s="1"/>
      <c r="B2" s="2" t="s">
        <v>1</v>
      </c>
      <c r="C2" s="2" t="s">
        <v>0</v>
      </c>
      <c r="D2" s="3">
        <v>0.1</v>
      </c>
      <c r="E2" s="4" t="s">
        <v>2</v>
      </c>
    </row>
    <row r="3" spans="1:5" ht="27.75" customHeight="1" x14ac:dyDescent="0.35">
      <c r="A3" s="5">
        <v>1</v>
      </c>
      <c r="B3" s="16" t="s">
        <v>15</v>
      </c>
      <c r="C3" s="21">
        <v>7584</v>
      </c>
      <c r="D3" s="27">
        <f>C3*0.1</f>
        <v>758.40000000000009</v>
      </c>
      <c r="E3" s="28">
        <f>C3+D3</f>
        <v>8342.4</v>
      </c>
    </row>
    <row r="4" spans="1:5" ht="27.75" customHeight="1" x14ac:dyDescent="0.35">
      <c r="A4" s="8">
        <v>2</v>
      </c>
      <c r="B4" s="15" t="s">
        <v>6</v>
      </c>
      <c r="C4" s="26">
        <v>3429.4</v>
      </c>
      <c r="D4" s="27">
        <f t="shared" ref="D4:D14" si="0">C4*0.1</f>
        <v>342.94000000000005</v>
      </c>
      <c r="E4" s="28">
        <f t="shared" ref="E4:E14" si="1">C4+D4</f>
        <v>3772.34</v>
      </c>
    </row>
    <row r="5" spans="1:5" ht="27.75" customHeight="1" x14ac:dyDescent="0.35">
      <c r="A5" s="8">
        <v>3</v>
      </c>
      <c r="B5" s="15" t="s">
        <v>9</v>
      </c>
      <c r="C5" s="26">
        <v>4202</v>
      </c>
      <c r="D5" s="27">
        <f t="shared" si="0"/>
        <v>420.20000000000005</v>
      </c>
      <c r="E5" s="28">
        <f t="shared" si="1"/>
        <v>4622.2</v>
      </c>
    </row>
    <row r="6" spans="1:5" ht="27.75" customHeight="1" x14ac:dyDescent="0.35">
      <c r="A6" s="8">
        <v>4</v>
      </c>
      <c r="B6" s="15" t="s">
        <v>11</v>
      </c>
      <c r="C6" s="26">
        <v>2526.6</v>
      </c>
      <c r="D6" s="27">
        <f t="shared" si="0"/>
        <v>252.66</v>
      </c>
      <c r="E6" s="28">
        <f t="shared" si="1"/>
        <v>2779.2599999999998</v>
      </c>
    </row>
    <row r="7" spans="1:5" ht="27.75" customHeight="1" x14ac:dyDescent="0.35">
      <c r="A7" s="8">
        <v>5</v>
      </c>
      <c r="B7" s="15" t="s">
        <v>8</v>
      </c>
      <c r="C7" s="26">
        <v>1567</v>
      </c>
      <c r="D7" s="27">
        <f t="shared" si="0"/>
        <v>156.70000000000002</v>
      </c>
      <c r="E7" s="28">
        <f t="shared" si="1"/>
        <v>1723.7</v>
      </c>
    </row>
    <row r="8" spans="1:5" ht="27.75" customHeight="1" x14ac:dyDescent="0.35">
      <c r="A8" s="8">
        <v>6</v>
      </c>
      <c r="B8" s="15" t="s">
        <v>30</v>
      </c>
      <c r="C8" s="26">
        <v>1790</v>
      </c>
      <c r="D8" s="27">
        <f t="shared" si="0"/>
        <v>179</v>
      </c>
      <c r="E8" s="28">
        <f t="shared" si="1"/>
        <v>1969</v>
      </c>
    </row>
    <row r="9" spans="1:5" ht="27.75" customHeight="1" x14ac:dyDescent="0.35">
      <c r="A9" s="8">
        <v>7</v>
      </c>
      <c r="B9" s="16" t="s">
        <v>12</v>
      </c>
      <c r="C9" s="26">
        <v>2311.4</v>
      </c>
      <c r="D9" s="27">
        <f t="shared" si="0"/>
        <v>231.14000000000001</v>
      </c>
      <c r="E9" s="28">
        <f t="shared" si="1"/>
        <v>2542.54</v>
      </c>
    </row>
    <row r="10" spans="1:5" ht="27.75" customHeight="1" x14ac:dyDescent="0.35">
      <c r="A10" s="8">
        <v>8</v>
      </c>
      <c r="B10" s="15" t="s">
        <v>13</v>
      </c>
      <c r="C10" s="26">
        <v>2177.6999999999998</v>
      </c>
      <c r="D10" s="27">
        <f t="shared" si="0"/>
        <v>217.76999999999998</v>
      </c>
      <c r="E10" s="28">
        <f t="shared" si="1"/>
        <v>2395.4699999999998</v>
      </c>
    </row>
    <row r="11" spans="1:5" ht="27.75" customHeight="1" x14ac:dyDescent="0.35">
      <c r="A11" s="8">
        <v>9</v>
      </c>
      <c r="B11" s="15" t="s">
        <v>10</v>
      </c>
      <c r="C11" s="26">
        <v>2370.3000000000002</v>
      </c>
      <c r="D11" s="27">
        <f t="shared" si="0"/>
        <v>237.03000000000003</v>
      </c>
      <c r="E11" s="28">
        <f t="shared" si="1"/>
        <v>2607.3300000000004</v>
      </c>
    </row>
    <row r="12" spans="1:5" ht="27.75" customHeight="1" x14ac:dyDescent="0.35">
      <c r="A12" s="8">
        <v>10</v>
      </c>
      <c r="B12" s="16" t="s">
        <v>19</v>
      </c>
      <c r="C12" s="26">
        <v>1547</v>
      </c>
      <c r="D12" s="27">
        <f t="shared" si="0"/>
        <v>154.70000000000002</v>
      </c>
      <c r="E12" s="28">
        <f t="shared" si="1"/>
        <v>1701.7</v>
      </c>
    </row>
    <row r="13" spans="1:5" ht="27.75" customHeight="1" x14ac:dyDescent="0.35">
      <c r="A13" s="8">
        <v>11</v>
      </c>
      <c r="B13" s="15" t="s">
        <v>14</v>
      </c>
      <c r="C13" s="26">
        <v>1975.4</v>
      </c>
      <c r="D13" s="27">
        <f t="shared" si="0"/>
        <v>197.54000000000002</v>
      </c>
      <c r="E13" s="28">
        <f t="shared" si="1"/>
        <v>2172.94</v>
      </c>
    </row>
    <row r="14" spans="1:5" ht="27.75" customHeight="1" thickBot="1" x14ac:dyDescent="0.4">
      <c r="A14" s="8">
        <v>12</v>
      </c>
      <c r="B14" s="16" t="s">
        <v>7</v>
      </c>
      <c r="C14" s="29">
        <v>2207.6</v>
      </c>
      <c r="D14" s="27">
        <f t="shared" si="0"/>
        <v>220.76</v>
      </c>
      <c r="E14" s="28">
        <f t="shared" si="1"/>
        <v>2428.3599999999997</v>
      </c>
    </row>
    <row r="15" spans="1:5" ht="27.75" customHeight="1" thickBot="1" x14ac:dyDescent="0.4">
      <c r="A15" s="1"/>
      <c r="B15" s="2" t="s">
        <v>3</v>
      </c>
      <c r="C15" s="32">
        <f>SUM(C3:C14)</f>
        <v>33688.400000000001</v>
      </c>
      <c r="D15" s="2"/>
      <c r="E15" s="14">
        <f>SUM(E3:E14)</f>
        <v>37057.240000000005</v>
      </c>
    </row>
    <row r="17" spans="1:5" ht="24" customHeight="1" x14ac:dyDescent="0.45">
      <c r="B17" s="33" t="s">
        <v>29</v>
      </c>
      <c r="C17" s="33"/>
      <c r="D17" s="33"/>
      <c r="E17" s="33"/>
    </row>
    <row r="18" spans="1:5" ht="15" thickBot="1" x14ac:dyDescent="0.35"/>
    <row r="19" spans="1:5" ht="26.25" customHeight="1" thickBot="1" x14ac:dyDescent="0.4">
      <c r="A19" s="1"/>
      <c r="B19" s="2" t="s">
        <v>1</v>
      </c>
      <c r="C19" s="2" t="s">
        <v>27</v>
      </c>
      <c r="D19" s="3">
        <v>0.1</v>
      </c>
      <c r="E19" s="4" t="s">
        <v>2</v>
      </c>
    </row>
    <row r="20" spans="1:5" ht="26.25" customHeight="1" x14ac:dyDescent="0.35">
      <c r="A20" s="8">
        <v>1</v>
      </c>
      <c r="B20" s="24" t="s">
        <v>20</v>
      </c>
      <c r="C20" s="20">
        <v>257</v>
      </c>
      <c r="D20" s="27">
        <f t="shared" ref="D20:D25" si="2">C20*0.1</f>
        <v>25.700000000000003</v>
      </c>
      <c r="E20" s="28">
        <f t="shared" ref="E20:E25" si="3">C20+D20</f>
        <v>282.7</v>
      </c>
    </row>
    <row r="21" spans="1:5" ht="26.25" customHeight="1" x14ac:dyDescent="0.35">
      <c r="A21" s="8">
        <v>2</v>
      </c>
      <c r="B21" s="16" t="s">
        <v>22</v>
      </c>
      <c r="C21" s="20">
        <v>390</v>
      </c>
      <c r="D21" s="27">
        <f t="shared" si="2"/>
        <v>39</v>
      </c>
      <c r="E21" s="28">
        <f t="shared" si="3"/>
        <v>429</v>
      </c>
    </row>
    <row r="22" spans="1:5" ht="26.25" customHeight="1" x14ac:dyDescent="0.35">
      <c r="A22" s="8">
        <v>3</v>
      </c>
      <c r="B22" s="16" t="s">
        <v>23</v>
      </c>
      <c r="C22" s="20">
        <v>372</v>
      </c>
      <c r="D22" s="27">
        <f t="shared" si="2"/>
        <v>37.200000000000003</v>
      </c>
      <c r="E22" s="28">
        <f t="shared" si="3"/>
        <v>409.2</v>
      </c>
    </row>
    <row r="23" spans="1:5" ht="26.25" customHeight="1" x14ac:dyDescent="0.35">
      <c r="A23" s="8">
        <v>4</v>
      </c>
      <c r="B23" s="15" t="s">
        <v>24</v>
      </c>
      <c r="C23" s="20">
        <v>390</v>
      </c>
      <c r="D23" s="27">
        <f t="shared" si="2"/>
        <v>39</v>
      </c>
      <c r="E23" s="28">
        <f t="shared" si="3"/>
        <v>429</v>
      </c>
    </row>
    <row r="24" spans="1:5" ht="26.25" customHeight="1" x14ac:dyDescent="0.35">
      <c r="A24" s="8">
        <v>5</v>
      </c>
      <c r="B24" s="15" t="s">
        <v>32</v>
      </c>
      <c r="C24" s="30">
        <v>257</v>
      </c>
      <c r="D24" s="27">
        <f t="shared" si="2"/>
        <v>25.700000000000003</v>
      </c>
      <c r="E24" s="28">
        <f t="shared" si="3"/>
        <v>282.7</v>
      </c>
    </row>
    <row r="25" spans="1:5" ht="26.25" customHeight="1" x14ac:dyDescent="0.35">
      <c r="A25" s="8">
        <v>6</v>
      </c>
      <c r="B25" s="16" t="s">
        <v>31</v>
      </c>
      <c r="C25" s="25">
        <v>142</v>
      </c>
      <c r="D25" s="27">
        <f t="shared" si="2"/>
        <v>14.200000000000001</v>
      </c>
      <c r="E25" s="28">
        <f t="shared" si="3"/>
        <v>156.19999999999999</v>
      </c>
    </row>
    <row r="26" spans="1:5" ht="26.25" customHeight="1" thickBot="1" x14ac:dyDescent="0.4">
      <c r="A26" s="11"/>
      <c r="B26" s="16"/>
      <c r="C26" s="23"/>
      <c r="D26" s="21"/>
      <c r="E26" s="7"/>
    </row>
    <row r="27" spans="1:5" ht="27.75" customHeight="1" thickBot="1" x14ac:dyDescent="0.4">
      <c r="A27" s="1"/>
      <c r="B27" s="2" t="s">
        <v>3</v>
      </c>
      <c r="C27" s="32">
        <f>SUM(C20:C26)</f>
        <v>1808</v>
      </c>
      <c r="D27" s="2"/>
      <c r="E27" s="31">
        <f>SUM(E20:E26)</f>
        <v>1988.8000000000002</v>
      </c>
    </row>
  </sheetData>
  <mergeCells count="2">
    <mergeCell ref="B1:E1"/>
    <mergeCell ref="B17:E17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rightToLeft="1" tabSelected="1" workbookViewId="0">
      <selection activeCell="E6" sqref="E6"/>
    </sheetView>
  </sheetViews>
  <sheetFormatPr defaultRowHeight="14.4" x14ac:dyDescent="0.3"/>
  <cols>
    <col min="1" max="1" width="4.6640625" customWidth="1"/>
    <col min="2" max="2" width="21.5546875" customWidth="1"/>
    <col min="3" max="3" width="12.44140625" customWidth="1"/>
    <col min="4" max="4" width="11.33203125" customWidth="1"/>
    <col min="5" max="5" width="12.88671875" customWidth="1"/>
  </cols>
  <sheetData>
    <row r="1" spans="1:5" ht="24" customHeight="1" thickBot="1" x14ac:dyDescent="0.5">
      <c r="B1" s="33" t="s">
        <v>35</v>
      </c>
      <c r="C1" s="33"/>
      <c r="D1" s="33"/>
      <c r="E1" s="33"/>
    </row>
    <row r="2" spans="1:5" ht="27.75" customHeight="1" thickBot="1" x14ac:dyDescent="0.4">
      <c r="A2" s="1"/>
      <c r="B2" s="2" t="s">
        <v>1</v>
      </c>
      <c r="C2" s="2" t="s">
        <v>0</v>
      </c>
      <c r="D2" s="3">
        <v>0.15</v>
      </c>
      <c r="E2" s="4" t="s">
        <v>2</v>
      </c>
    </row>
    <row r="3" spans="1:5" ht="27.75" customHeight="1" x14ac:dyDescent="0.35">
      <c r="A3" s="5">
        <v>1</v>
      </c>
      <c r="B3" s="16" t="s">
        <v>15</v>
      </c>
      <c r="C3" s="21">
        <v>8342</v>
      </c>
      <c r="D3" s="27">
        <f>C3*0.15</f>
        <v>1251.3</v>
      </c>
      <c r="E3" s="28">
        <f>C3+D3</f>
        <v>9593.2999999999993</v>
      </c>
    </row>
    <row r="4" spans="1:5" ht="27.75" customHeight="1" x14ac:dyDescent="0.35">
      <c r="A4" s="8">
        <v>2</v>
      </c>
      <c r="B4" s="15" t="s">
        <v>6</v>
      </c>
      <c r="C4" s="26">
        <v>3772</v>
      </c>
      <c r="D4" s="27">
        <f t="shared" ref="D4:D13" si="0">C4*0.15</f>
        <v>565.79999999999995</v>
      </c>
      <c r="E4" s="28">
        <f t="shared" ref="E4:E13" si="1">C4+D4</f>
        <v>4337.8</v>
      </c>
    </row>
    <row r="5" spans="1:5" ht="27.75" customHeight="1" x14ac:dyDescent="0.35">
      <c r="A5" s="8">
        <v>3</v>
      </c>
      <c r="B5" s="15" t="s">
        <v>11</v>
      </c>
      <c r="C5" s="26">
        <v>2780</v>
      </c>
      <c r="D5" s="27">
        <f t="shared" si="0"/>
        <v>417</v>
      </c>
      <c r="E5" s="28">
        <f t="shared" si="1"/>
        <v>3197</v>
      </c>
    </row>
    <row r="6" spans="1:5" ht="27.75" customHeight="1" x14ac:dyDescent="0.35">
      <c r="A6" s="8">
        <v>4</v>
      </c>
      <c r="B6" s="15" t="s">
        <v>8</v>
      </c>
      <c r="C6" s="26">
        <v>2543</v>
      </c>
      <c r="D6" s="27">
        <f t="shared" si="0"/>
        <v>381.45</v>
      </c>
      <c r="E6" s="28">
        <f t="shared" si="1"/>
        <v>2924.45</v>
      </c>
    </row>
    <row r="7" spans="1:5" ht="27.75" customHeight="1" x14ac:dyDescent="0.35">
      <c r="A7" s="8">
        <v>5</v>
      </c>
      <c r="B7" s="15" t="s">
        <v>13</v>
      </c>
      <c r="C7" s="26">
        <v>2395</v>
      </c>
      <c r="D7" s="27">
        <f t="shared" si="0"/>
        <v>359.25</v>
      </c>
      <c r="E7" s="28">
        <f t="shared" si="1"/>
        <v>2754.25</v>
      </c>
    </row>
    <row r="8" spans="1:5" ht="27.75" customHeight="1" x14ac:dyDescent="0.35">
      <c r="A8" s="8">
        <v>6</v>
      </c>
      <c r="B8" s="15" t="s">
        <v>10</v>
      </c>
      <c r="C8" s="26">
        <v>2608</v>
      </c>
      <c r="D8" s="27">
        <f t="shared" si="0"/>
        <v>391.2</v>
      </c>
      <c r="E8" s="28">
        <f t="shared" si="1"/>
        <v>2999.2</v>
      </c>
    </row>
    <row r="9" spans="1:5" ht="27.75" customHeight="1" x14ac:dyDescent="0.35">
      <c r="A9" s="8">
        <v>7</v>
      </c>
      <c r="B9" s="15" t="s">
        <v>30</v>
      </c>
      <c r="C9" s="26">
        <v>1969</v>
      </c>
      <c r="D9" s="27">
        <f t="shared" si="0"/>
        <v>295.34999999999997</v>
      </c>
      <c r="E9" s="28">
        <f t="shared" ref="E9:E11" si="2">C9+D9</f>
        <v>2264.35</v>
      </c>
    </row>
    <row r="10" spans="1:5" ht="27.75" customHeight="1" x14ac:dyDescent="0.35">
      <c r="A10" s="8">
        <v>8</v>
      </c>
      <c r="B10" s="15" t="s">
        <v>33</v>
      </c>
      <c r="C10" s="26">
        <v>1250</v>
      </c>
      <c r="D10" s="27">
        <f t="shared" si="0"/>
        <v>187.5</v>
      </c>
      <c r="E10" s="28">
        <f t="shared" si="2"/>
        <v>1437.5</v>
      </c>
    </row>
    <row r="11" spans="1:5" ht="27.75" customHeight="1" x14ac:dyDescent="0.35">
      <c r="A11" s="8">
        <v>9</v>
      </c>
      <c r="B11" s="15" t="s">
        <v>34</v>
      </c>
      <c r="C11" s="26">
        <v>1000</v>
      </c>
      <c r="D11" s="27">
        <f t="shared" si="0"/>
        <v>150</v>
      </c>
      <c r="E11" s="28">
        <f t="shared" si="2"/>
        <v>1150</v>
      </c>
    </row>
    <row r="12" spans="1:5" ht="27.75" customHeight="1" x14ac:dyDescent="0.35">
      <c r="A12" s="8">
        <v>10</v>
      </c>
      <c r="B12" s="16" t="s">
        <v>19</v>
      </c>
      <c r="C12" s="26">
        <v>1702</v>
      </c>
      <c r="D12" s="27">
        <f t="shared" si="0"/>
        <v>255.29999999999998</v>
      </c>
      <c r="E12" s="28">
        <f t="shared" si="1"/>
        <v>1957.3</v>
      </c>
    </row>
    <row r="13" spans="1:5" ht="27.75" customHeight="1" thickBot="1" x14ac:dyDescent="0.4">
      <c r="A13" s="8">
        <v>11</v>
      </c>
      <c r="B13" s="16" t="s">
        <v>7</v>
      </c>
      <c r="C13" s="29">
        <v>2428</v>
      </c>
      <c r="D13" s="27">
        <f t="shared" si="0"/>
        <v>364.2</v>
      </c>
      <c r="E13" s="28">
        <f t="shared" si="1"/>
        <v>2792.2</v>
      </c>
    </row>
    <row r="14" spans="1:5" ht="27.75" customHeight="1" thickBot="1" x14ac:dyDescent="0.4">
      <c r="A14" s="1"/>
      <c r="B14" s="2" t="s">
        <v>3</v>
      </c>
      <c r="C14" s="32">
        <f>SUM(C3:C13)</f>
        <v>30789</v>
      </c>
      <c r="D14" s="2"/>
      <c r="E14" s="14">
        <f>SUM(E3:E13)</f>
        <v>35407.35</v>
      </c>
    </row>
    <row r="16" spans="1:5" ht="24" customHeight="1" x14ac:dyDescent="0.45">
      <c r="B16" s="33" t="s">
        <v>35</v>
      </c>
      <c r="C16" s="33"/>
      <c r="D16" s="33"/>
      <c r="E16" s="33"/>
    </row>
    <row r="17" spans="1:5" ht="15" thickBot="1" x14ac:dyDescent="0.35"/>
    <row r="18" spans="1:5" ht="26.25" customHeight="1" thickBot="1" x14ac:dyDescent="0.4">
      <c r="A18" s="1"/>
      <c r="B18" s="2" t="s">
        <v>1</v>
      </c>
      <c r="C18" s="2" t="s">
        <v>27</v>
      </c>
      <c r="D18" s="3">
        <v>0.15</v>
      </c>
      <c r="E18" s="4" t="s">
        <v>2</v>
      </c>
    </row>
    <row r="19" spans="1:5" ht="26.25" customHeight="1" x14ac:dyDescent="0.35">
      <c r="A19" s="8">
        <v>1</v>
      </c>
      <c r="B19" s="24" t="s">
        <v>20</v>
      </c>
      <c r="C19" s="20">
        <v>282</v>
      </c>
      <c r="D19" s="27">
        <f>C19*0.15</f>
        <v>42.3</v>
      </c>
      <c r="E19" s="28">
        <f t="shared" ref="E19:E24" si="3">C19+D19</f>
        <v>324.3</v>
      </c>
    </row>
    <row r="20" spans="1:5" ht="26.25" customHeight="1" x14ac:dyDescent="0.35">
      <c r="A20" s="8">
        <v>2</v>
      </c>
      <c r="B20" s="16" t="s">
        <v>22</v>
      </c>
      <c r="C20" s="20">
        <v>429</v>
      </c>
      <c r="D20" s="27">
        <f t="shared" ref="D20:D24" si="4">C20*0.15</f>
        <v>64.349999999999994</v>
      </c>
      <c r="E20" s="28">
        <f t="shared" si="3"/>
        <v>493.35</v>
      </c>
    </row>
    <row r="21" spans="1:5" ht="26.25" customHeight="1" x14ac:dyDescent="0.35">
      <c r="A21" s="8">
        <v>3</v>
      </c>
      <c r="B21" s="15" t="s">
        <v>24</v>
      </c>
      <c r="C21" s="20">
        <v>429</v>
      </c>
      <c r="D21" s="27">
        <f t="shared" si="4"/>
        <v>64.349999999999994</v>
      </c>
      <c r="E21" s="28">
        <f t="shared" si="3"/>
        <v>493.35</v>
      </c>
    </row>
    <row r="22" spans="1:5" ht="26.25" customHeight="1" x14ac:dyDescent="0.35">
      <c r="A22" s="8">
        <v>4</v>
      </c>
      <c r="B22" s="15" t="s">
        <v>32</v>
      </c>
      <c r="C22" s="30">
        <v>282</v>
      </c>
      <c r="D22" s="27">
        <f t="shared" si="4"/>
        <v>42.3</v>
      </c>
      <c r="E22" s="28">
        <f t="shared" si="3"/>
        <v>324.3</v>
      </c>
    </row>
    <row r="23" spans="1:5" ht="26.25" customHeight="1" x14ac:dyDescent="0.35">
      <c r="A23" s="8">
        <v>5</v>
      </c>
      <c r="B23" s="16" t="s">
        <v>36</v>
      </c>
      <c r="C23" s="25">
        <v>156</v>
      </c>
      <c r="D23" s="27">
        <f t="shared" si="4"/>
        <v>23.4</v>
      </c>
      <c r="E23" s="28">
        <f t="shared" si="3"/>
        <v>179.4</v>
      </c>
    </row>
    <row r="24" spans="1:5" ht="26.25" customHeight="1" thickBot="1" x14ac:dyDescent="0.4">
      <c r="A24" s="8">
        <v>6</v>
      </c>
      <c r="B24" s="16" t="s">
        <v>37</v>
      </c>
      <c r="C24" s="23">
        <v>156</v>
      </c>
      <c r="D24" s="27">
        <f t="shared" si="4"/>
        <v>23.4</v>
      </c>
      <c r="E24" s="28">
        <f t="shared" si="3"/>
        <v>179.4</v>
      </c>
    </row>
    <row r="25" spans="1:5" ht="27.75" customHeight="1" thickBot="1" x14ac:dyDescent="0.4">
      <c r="A25" s="1"/>
      <c r="B25" s="2" t="s">
        <v>3</v>
      </c>
      <c r="C25" s="32">
        <f>SUM(C19:C24)</f>
        <v>1734</v>
      </c>
      <c r="D25" s="2"/>
      <c r="E25" s="31">
        <f>SUM(E19:E24)</f>
        <v>1994.1000000000001</v>
      </c>
    </row>
  </sheetData>
  <mergeCells count="2">
    <mergeCell ref="B1:E1"/>
    <mergeCell ref="B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زيادة 10-2022</vt:lpstr>
      <vt:lpstr>زيادة 1-2023</vt:lpstr>
      <vt:lpstr>زىادة 1-2024</vt:lpstr>
      <vt:lpstr>زيادة يناير 2025</vt:lpstr>
      <vt:lpstr>زيادة 1-2026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2026-01-27T00:26:19Z</dcterms:modified>
</cp:coreProperties>
</file>